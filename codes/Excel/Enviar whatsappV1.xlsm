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nequiz\Downloads\"/>
    </mc:Choice>
  </mc:AlternateContent>
  <xr:revisionPtr revIDLastSave="0" documentId="13_ncr:1_{132300EA-058C-43BF-B52B-26826766F4C0}" xr6:coauthVersionLast="47" xr6:coauthVersionMax="47" xr10:uidLastSave="{00000000-0000-0000-0000-000000000000}"/>
  <bookViews>
    <workbookView xWindow="-120" yWindow="-120" windowWidth="29040" windowHeight="15840" tabRatio="388" xr2:uid="{00000000-000D-0000-FFFF-FFFF00000000}"/>
  </bookViews>
  <sheets>
    <sheet name="Hoja1" sheetId="421" r:id="rId1"/>
    <sheet name="Hoja1 (2)" sheetId="422" r:id="rId2"/>
  </sheets>
  <functionGroups builtInGroupCount="19"/>
  <definedNames>
    <definedName name="_xlpm._sust" hidden="1" xlm="1">#NAME?</definedName>
    <definedName name="_xlpm.CÓDIGO_Y_NOMBRE" hidden="1" xlm="1">#NAME?</definedName>
    <definedName name="_xlpm.ENCONTRAR_EL_GUIÓN" hidden="1" xlm="1">#NAME?</definedName>
    <definedName name="_xlpm.fecha_final" hidden="1" xlm="1">#NAME?</definedName>
    <definedName name="_xlpm.fecha_inicial" hidden="1" xlm="1">#NAME?</definedName>
    <definedName name="_xlpm.REEMPLAZAR_EL_1ER_GUIÓN" hidden="1" xlm="1">#NAME?</definedName>
    <definedName name="FechaAleatoria" comment="Devuelve una fecha aleatoria entre 2 fechas elegidas.">_xlfn.LAMBDA(_xlpm.fecha_inicial,_xlpm.fecha_final,TEXT(RANDBETWEEN(_xlpm.fecha_inicial,_xlpm.fecha_final),"dd/mMm"))</definedName>
    <definedName name="SoloNombre">_xlfn.LAMBDA(_xlpm.CÓDIGO_Y_NOMBRE,_xlfn.LET(_xlpm.REEMPLAZAR_EL_1ER_GUIÓN, SUBSTITUTE(_xlpm.CÓDIGO_Y_NOMBRE, "-", "", 1), _xlpm.ENCONTRAR_EL_GUIÓN, FIND("-", _xlpm.REEMPLAZAR_EL_1ER_GUIÓN), RIGHT(_xlpm.REEMPLAZAR_EL_1ER_GUIÓN, LEN(_xlpm.REEMPLAZAR_EL_1ER_GUIÓN) - _xlpm.ENCONTRAR_EL_GUIÓN)))</definedName>
    <definedName name="SoloNombreLet">_xlfn.LAMBDA(_xlpm.CÓDIGO_Y_NOMBRE,_xlfn.LET(_xlpm._sust, SUBSTITUTE(_xlpm.CÓDIGO_Y_NOMBRE, "-", "", 1), RIGHT(_xlpm._sust, LEN(_xlpm._sust) - FIND("-", _xlpm._sust))))</definedName>
    <definedName name="TELEFON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21" l="1"/>
  <c r="F10" i="421"/>
  <c r="C11" i="421"/>
  <c r="F11" i="421"/>
  <c r="C12" i="421"/>
  <c r="F12" i="421"/>
  <c r="C13" i="421"/>
  <c r="F13" i="421"/>
  <c r="C14" i="421"/>
  <c r="F14" i="421"/>
  <c r="C15" i="421"/>
  <c r="F15" i="421"/>
  <c r="C16" i="421"/>
  <c r="F16" i="421"/>
  <c r="C17" i="421"/>
  <c r="F17" i="421"/>
  <c r="F7" i="421"/>
  <c r="F8" i="421"/>
  <c r="F9" i="421"/>
  <c r="C7" i="421"/>
  <c r="C8" i="421"/>
  <c r="C9" i="421"/>
  <c r="F25" i="422"/>
  <c r="G25" i="422" s="1"/>
  <c r="E25" i="422"/>
  <c r="F24" i="422"/>
  <c r="G24" i="422" s="1"/>
  <c r="E24" i="422"/>
  <c r="F23" i="422"/>
  <c r="G23" i="422" s="1"/>
  <c r="E23" i="422"/>
  <c r="F22" i="422"/>
  <c r="G22" i="422" s="1"/>
  <c r="E22" i="422"/>
  <c r="F21" i="422"/>
  <c r="G21" i="422" s="1"/>
  <c r="E21" i="422"/>
  <c r="F20" i="422"/>
  <c r="G20" i="422" s="1"/>
  <c r="E20" i="422"/>
  <c r="F19" i="422"/>
  <c r="G19" i="422" s="1"/>
  <c r="E19" i="422"/>
  <c r="F18" i="422"/>
  <c r="G18" i="422" s="1"/>
  <c r="E18" i="422"/>
  <c r="F17" i="422"/>
  <c r="G17" i="422" s="1"/>
  <c r="E17" i="422"/>
  <c r="F16" i="422"/>
  <c r="G16" i="422" s="1"/>
  <c r="E16" i="422"/>
  <c r="F15" i="422"/>
  <c r="G15" i="422" s="1"/>
  <c r="E15" i="422"/>
  <c r="F14" i="422"/>
  <c r="G14" i="422" s="1"/>
  <c r="E14" i="422"/>
  <c r="F13" i="422"/>
  <c r="G13" i="422" s="1"/>
  <c r="E13" i="422"/>
  <c r="F12" i="422"/>
  <c r="G12" i="422" s="1"/>
  <c r="E12" i="422"/>
  <c r="F11" i="422"/>
  <c r="G11" i="422" s="1"/>
  <c r="E11" i="422"/>
  <c r="F10" i="422"/>
  <c r="G10" i="422" s="1"/>
  <c r="E10" i="422"/>
  <c r="F9" i="422"/>
  <c r="G9" i="422" s="1"/>
  <c r="E9" i="422"/>
  <c r="F8" i="422"/>
  <c r="G8" i="422" s="1"/>
  <c r="E8" i="422"/>
  <c r="F7" i="422"/>
  <c r="G7" i="422" s="1"/>
  <c r="E7" i="422"/>
  <c r="F6" i="422"/>
  <c r="G6" i="422" s="1"/>
  <c r="E6" i="422"/>
</calcChain>
</file>

<file path=xl/sharedStrings.xml><?xml version="1.0" encoding="utf-8"?>
<sst xmlns="http://schemas.openxmlformats.org/spreadsheetml/2006/main" count="60" uniqueCount="47">
  <si>
    <t>NOMBRE</t>
  </si>
  <si>
    <t>523310932319</t>
  </si>
  <si>
    <t>TELÉFONO</t>
  </si>
  <si>
    <t>SALDO</t>
  </si>
  <si>
    <t>FECHA</t>
  </si>
  <si>
    <t>Gabriel</t>
  </si>
  <si>
    <t>Sofía</t>
  </si>
  <si>
    <t>Mateo</t>
  </si>
  <si>
    <t>Valentina</t>
  </si>
  <si>
    <t>Santiago</t>
  </si>
  <si>
    <t>Isabella</t>
  </si>
  <si>
    <t>Alejandro</t>
  </si>
  <si>
    <t>Camila</t>
  </si>
  <si>
    <t>Daniel</t>
  </si>
  <si>
    <t>Lucía</t>
  </si>
  <si>
    <t>Matías</t>
  </si>
  <si>
    <t>Victoria</t>
  </si>
  <si>
    <t>Sebastián</t>
  </si>
  <si>
    <t>Emily</t>
  </si>
  <si>
    <t>Nicolás</t>
  </si>
  <si>
    <t>Mia</t>
  </si>
  <si>
    <t>Adrián</t>
  </si>
  <si>
    <t>Gabriela</t>
  </si>
  <si>
    <t>Andrés</t>
  </si>
  <si>
    <t>Natalia</t>
  </si>
  <si>
    <t>DÍAS VENCIDO</t>
  </si>
  <si>
    <t>STATUS</t>
  </si>
  <si>
    <t>Cómo enviar mensajes masivos de WhatsApp desde Excel</t>
  </si>
  <si>
    <t>ENVIAR MENSAJES DE WHATSAPP</t>
  </si>
  <si>
    <t>TEXTO</t>
  </si>
  <si>
    <t>Juan Pérez</t>
  </si>
  <si>
    <t xml:space="preserve">FECHA </t>
  </si>
  <si>
    <t>Pedro Sánchez</t>
  </si>
  <si>
    <t>Miguel Carmona</t>
  </si>
  <si>
    <t>Valentin Romero</t>
  </si>
  <si>
    <t>Antonio Santana</t>
  </si>
  <si>
    <t>Carlos García</t>
  </si>
  <si>
    <t>Pedro Reyes</t>
  </si>
  <si>
    <t>Ernesto Gómez</t>
  </si>
  <si>
    <t>Oscar Santiago</t>
  </si>
  <si>
    <t>Roberto Perez</t>
  </si>
  <si>
    <t>Nayra Rey</t>
  </si>
  <si>
    <t>IMP. TRANSFERENCIA</t>
  </si>
  <si>
    <t>5579017891</t>
  </si>
  <si>
    <t>Status</t>
  </si>
  <si>
    <t>enviado</t>
  </si>
  <si>
    <t>no enviado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</si>
</sst>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sz val="20"/>
      <color theme="1"/>
      <name val="Montserrat"/>
    </font>
    <font>
      <sz val="11"/>
      <color rgb="FF000000"/>
      <name val="Segoe UI"/>
      <family val="2"/>
      <charset val="1"/>
    </font>
    <font>
      <u/>
      <sz val="11"/>
      <color rgb="FF0563C1"/>
      <name val="Segoe UI"/>
      <family val="2"/>
      <charset val="1"/>
    </font>
    <font>
      <u/>
      <sz val="10"/>
      <color rgb="FF0563C1"/>
      <name val="Arial"/>
      <family val="2"/>
      <charset val="1"/>
    </font>
    <font>
      <b/>
      <sz val="15"/>
      <color rgb="FF44546A"/>
      <name val="Segoe UI"/>
      <family val="2"/>
      <charset val="1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4472C4"/>
      </bottom>
      <diagonal/>
    </border>
  </borders>
  <cellStyleXfs count="7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5" fillId="0" borderId="0"/>
    <xf numFmtId="0" fontId="6" fillId="0" borderId="0" applyBorder="0" applyProtection="0"/>
    <xf numFmtId="0" fontId="7" fillId="0" borderId="0" applyBorder="0" applyProtection="0"/>
    <xf numFmtId="0" fontId="8" fillId="0" borderId="1" applyProtection="0"/>
  </cellStyleXfs>
  <cellXfs count="13">
    <xf numFmtId="0" fontId="0" fillId="0" borderId="0" xfId="0"/>
    <xf numFmtId="165" fontId="0" fillId="0" borderId="0" xfId="0" applyNumberFormat="1"/>
    <xf numFmtId="16" fontId="0" fillId="0" borderId="0" xfId="0" applyNumberFormat="1"/>
    <xf numFmtId="49" fontId="0" fillId="0" borderId="0" xfId="0" applyNumberFormat="1"/>
    <xf numFmtId="0" fontId="3" fillId="0" borderId="0" xfId="0" applyFont="1"/>
    <xf numFmtId="0" fontId="4" fillId="0" borderId="0" xfId="0" applyFont="1"/>
    <xf numFmtId="165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</cellXfs>
  <cellStyles count="7">
    <cellStyle name="Encabezado 1 2" xfId="6" xr:uid="{3C10DE45-60BF-4C91-833A-6AB07E8A521F}"/>
    <cellStyle name="Hipervínculo 2" xfId="4" xr:uid="{988A51AD-7619-41FB-8162-33E6F93343BA}"/>
    <cellStyle name="Hipervínculo 3" xfId="5" xr:uid="{3C2DFB8D-0594-442B-8E46-87FDF609EB78}"/>
    <cellStyle name="Millares 2" xfId="2" xr:uid="{3ED8372E-45F0-4E49-9FEF-75EC5B239535}"/>
    <cellStyle name="Normal" xfId="0" builtinId="0"/>
    <cellStyle name="Normal 2 2 2 2" xfId="3" xr:uid="{98D39730-BA16-491F-BCFE-CCF8E64B3D81}"/>
    <cellStyle name="Normal 3" xfId="1" xr:uid="{B83F7363-F364-43B3-A72E-5BB18CF6360D}"/>
  </cellStyles>
  <dxfs count="9">
    <dxf>
      <numFmt numFmtId="165" formatCode="&quot;$&quot;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21" formatCode="dd\-mmm"/>
    </dxf>
    <dxf>
      <numFmt numFmtId="165" formatCode="&quot;$&quot;#,##0"/>
    </dxf>
    <dxf>
      <numFmt numFmtId="0" formatCode="General"/>
      <alignment horizontal="general" vertical="bottom" textRotation="0" wrapText="1" indent="0" justifyLastLine="0" shrinkToFit="0" readingOrder="0"/>
    </dxf>
    <dxf>
      <numFmt numFmtId="165" formatCode="&quot;$&quot;#,##0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2897504</xdr:colOff>
      <xdr:row>1</xdr:row>
      <xdr:rowOff>72390</xdr:rowOff>
    </xdr:from>
    <xdr:to>
      <xdr:col>5</xdr:col>
      <xdr:colOff>4838699</xdr:colOff>
      <xdr:row>2</xdr:row>
      <xdr:rowOff>323850</xdr:rowOff>
    </xdr:to>
    <xdr:sp macro="[0]!ENV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82CC0C2-250B-EE99-90C4-6C92E78D4677}"/>
            </a:ext>
          </a:extLst>
        </xdr:cNvPr>
        <xdr:cNvSpPr/>
      </xdr:nvSpPr>
      <xdr:spPr>
        <a:xfrm>
          <a:off x="7155179" y="462915"/>
          <a:ext cx="1941195" cy="44196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 b="1"/>
            <a:t>ENVIAR</a:t>
          </a:r>
        </a:p>
        <a:p>
          <a:pPr algn="ctr"/>
          <a:r>
            <a:rPr lang="es-ES" sz="2000" b="1"/>
            <a:t>WHATSAPP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676275</xdr:colOff>
      <xdr:row>0</xdr:row>
      <xdr:rowOff>47625</xdr:rowOff>
    </xdr:from>
    <xdr:ext cx="4337406" cy="95346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676775" y="47625"/>
          <a:ext cx="4337406" cy="9534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/>
            <a:t>Estimado(a) Daniel.</a:t>
          </a:r>
        </a:p>
        <a:p>
          <a:endParaRPr lang="es-MX" sz="1100"/>
        </a:p>
        <a:p>
          <a:r>
            <a:rPr lang="es-MX" sz="1100"/>
            <a:t>Se le informa que presenta un atraso de 27 días en el pago de su cuenta.</a:t>
          </a:r>
        </a:p>
        <a:p>
          <a:endParaRPr lang="es-MX" sz="1100"/>
        </a:p>
        <a:p>
          <a:r>
            <a:rPr lang="es-MX" sz="1100"/>
            <a:t>Su saldo es: 7,839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C1AD0D-C550-4ED2-BE5A-2014DCDF9E4A}" name="Clientes" displayName="Clientes" ref="A6:F17" totalsRowShown="0">
  <autoFilter ref="A6:F17" xr:uid="{3DC1AD0D-C550-4ED2-BE5A-2014DCDF9E4A}"/>
  <tableColumns count="6">
    <tableColumn id="1" xr3:uid="{7A3C2998-50A6-4D13-A4F5-49C67724057D}" name="TELÉFONO" dataDxfId="8"/>
    <tableColumn id="2" xr3:uid="{7A74AFD8-6943-43CC-95F3-3A3B9DA69C94}" name="NOMBRE"/>
    <tableColumn id="8" xr3:uid="{8A6EA67F-3769-4B31-BD06-DD1170D9995F}" name="FECHA " dataDxfId="7">
      <calculatedColumnFormula>TODAY()</calculatedColumnFormula>
    </tableColumn>
    <tableColumn id="3" xr3:uid="{39A5EABC-FEAE-492D-B2C2-8ACFECAA380F}" name="IMP. TRANSFERENCIA" dataDxfId="6"/>
    <tableColumn id="4" xr3:uid="{474E41CE-772B-4157-9375-B6E240DAA015}" name="Status" dataDxfId="0"/>
    <tableColumn id="7" xr3:uid="{A432B7B2-5D60-4DFD-AC91-D1CBC3B9F186}" name="TEXTO" dataDxfId="5">
      <calculatedColumnFormula>"Estimado(a) Sr/Sra "&amp;Clientes[[#This Row],[NOMBRE]]&amp;"."&amp;"%0A"&amp;"%0A"&amp;"Se le informa que se ha procedido a efectuar transferencia a favor suyo por importe de $"&amp;TEXT(Clientes[[#This Row],[IMP. TRANSFERENCIA]],"0,00")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FA0266-D52E-4E91-825A-E0F77538F6E1}" name="Clientes2" displayName="Clientes2" ref="A5:G25" totalsRowShown="0">
  <autoFilter ref="A5:G25" xr:uid="{3DC1AD0D-C550-4ED2-BE5A-2014DCDF9E4A}"/>
  <tableColumns count="7">
    <tableColumn id="1" xr3:uid="{CB768E5A-9064-475E-AF94-0A7F69621683}" name="TELÉFONO"/>
    <tableColumn id="2" xr3:uid="{778CFDEE-CB5D-4EDF-85BE-67E4AC825D41}" name="NOMBRE"/>
    <tableColumn id="3" xr3:uid="{FAD960DF-E567-4288-89E0-9C3675B1ED5F}" name="SALDO" dataDxfId="4"/>
    <tableColumn id="4" xr3:uid="{648E94E7-6596-4869-8478-0402879960B1}" name="FECHA" dataDxfId="3"/>
    <tableColumn id="5" xr3:uid="{9574C844-E4C3-46BB-A55D-CDC094512C63}" name="STATUS">
      <calculatedColumnFormula>IF(D6&lt;TODAY(),"VENCIDO","VIGENTE")</calculatedColumnFormula>
    </tableColumn>
    <tableColumn id="6" xr3:uid="{CF39C1C6-F0FB-4E9D-83C5-248F96E15E15}" name="DÍAS VENCIDO" dataDxfId="2">
      <calculatedColumnFormula>IF(D6&lt;TODAY(),TODAY()-Clientes2[[#This Row],[FECHA]],"-")</calculatedColumnFormula>
    </tableColumn>
    <tableColumn id="7" xr3:uid="{0C444EDB-7CD6-452B-B900-F938E8CD2B83}" name="TEXTO" dataDxfId="1">
      <calculatedColumnFormula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A91E8-16A8-4315-82BF-D277201C9046}">
  <sheetPr codeName="Hoja1"/>
  <dimension ref="A1:G17"/>
  <sheetViews>
    <sheetView showGridLines="0" tabSelected="1" workbookViewId="0">
      <selection activeCell="E8" sqref="E8"/>
    </sheetView>
  </sheetViews>
  <sheetFormatPr baseColWidth="10" defaultColWidth="10.7109375" defaultRowHeight="15" x14ac:dyDescent="0.25"/>
  <cols>
    <col min="1" max="1" width="14.42578125" customWidth="1"/>
    <col min="2" max="2" width="14.7109375" bestFit="1" customWidth="1"/>
    <col min="3" max="3" width="13" customWidth="1"/>
    <col min="4" max="4" width="16.5703125" customWidth="1"/>
    <col min="5" max="5" width="12.28515625" customWidth="1"/>
    <col min="6" max="6" width="73.140625" customWidth="1"/>
    <col min="7" max="7" width="120.28515625" bestFit="1" customWidth="1"/>
    <col min="8" max="8" width="5.140625" customWidth="1"/>
  </cols>
  <sheetData>
    <row r="1" spans="1:7" ht="30.75" x14ac:dyDescent="0.55000000000000004">
      <c r="A1" s="5"/>
      <c r="B1" s="4"/>
      <c r="C1" s="4"/>
      <c r="D1" s="4"/>
      <c r="E1" s="4"/>
      <c r="F1" s="4"/>
      <c r="G1" s="4"/>
    </row>
    <row r="2" spans="1:7" ht="26.25" x14ac:dyDescent="0.25">
      <c r="A2" s="10" t="s">
        <v>28</v>
      </c>
      <c r="B2" s="10"/>
      <c r="C2" s="10"/>
      <c r="D2" s="10"/>
      <c r="E2" s="9"/>
    </row>
    <row r="3" spans="1:7" ht="26.45" customHeight="1" x14ac:dyDescent="0.25">
      <c r="A3" s="10"/>
      <c r="B3" s="10"/>
      <c r="C3" s="10"/>
      <c r="D3" s="10"/>
      <c r="E3" s="9"/>
    </row>
    <row r="4" spans="1:7" ht="26.25" x14ac:dyDescent="0.25">
      <c r="A4" s="10"/>
      <c r="B4" s="10"/>
      <c r="C4" s="10"/>
      <c r="D4" s="10"/>
      <c r="E4" s="9"/>
    </row>
    <row r="5" spans="1:7" ht="21.75" customHeight="1" x14ac:dyDescent="0.25"/>
    <row r="6" spans="1:7" x14ac:dyDescent="0.25">
      <c r="A6" t="s">
        <v>2</v>
      </c>
      <c r="B6" t="s">
        <v>0</v>
      </c>
      <c r="C6" t="s">
        <v>31</v>
      </c>
      <c r="D6" t="s">
        <v>42</v>
      </c>
      <c r="E6" t="s">
        <v>44</v>
      </c>
      <c r="F6" t="s">
        <v>29</v>
      </c>
    </row>
    <row r="7" spans="1:7" ht="43.9" customHeight="1" x14ac:dyDescent="0.25">
      <c r="A7" s="3" t="s">
        <v>43</v>
      </c>
      <c r="B7" t="s">
        <v>30</v>
      </c>
      <c r="C7" s="7">
        <f t="shared" ref="C7:C17" ca="1" si="0">TODAY()</f>
        <v>45121</v>
      </c>
      <c r="D7" s="6">
        <v>3820</v>
      </c>
      <c r="E7" s="11" t="s">
        <v>45</v>
      </c>
      <c r="F7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Juan Pérez.%0A%0ASe le informa que se ha procedido a efectuar transferencia a favor suyo por importe de $3,820</v>
      </c>
    </row>
    <row r="8" spans="1:7" ht="43.9" customHeight="1" x14ac:dyDescent="0.25">
      <c r="A8" s="3"/>
      <c r="B8" t="s">
        <v>32</v>
      </c>
      <c r="C8" s="7">
        <f t="shared" ca="1" si="0"/>
        <v>45121</v>
      </c>
      <c r="D8" s="6">
        <v>2477</v>
      </c>
      <c r="E8" s="12" t="s">
        <v>46</v>
      </c>
      <c r="F8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Pedro Sánchez.%0A%0ASe le informa que se ha procedido a efectuar transferencia a favor suyo por importe de $2,477</v>
      </c>
    </row>
    <row r="9" spans="1:7" ht="43.9" customHeight="1" x14ac:dyDescent="0.25">
      <c r="A9" s="3"/>
      <c r="B9" t="s">
        <v>33</v>
      </c>
      <c r="C9" s="7">
        <f t="shared" ca="1" si="0"/>
        <v>45121</v>
      </c>
      <c r="D9" s="6">
        <v>4078</v>
      </c>
      <c r="E9" s="12" t="s">
        <v>46</v>
      </c>
      <c r="F9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Miguel Carmona.%0A%0ASe le informa que se ha procedido a efectuar transferencia a favor suyo por importe de $4,078</v>
      </c>
    </row>
    <row r="10" spans="1:7" ht="43.9" customHeight="1" x14ac:dyDescent="0.25">
      <c r="A10" s="3"/>
      <c r="B10" t="s">
        <v>34</v>
      </c>
      <c r="C10" s="7">
        <f t="shared" ca="1" si="0"/>
        <v>45121</v>
      </c>
      <c r="D10" s="6">
        <v>5199</v>
      </c>
      <c r="E10" s="12" t="s">
        <v>46</v>
      </c>
      <c r="F10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Valentin Romero.%0A%0ASe le informa que se ha procedido a efectuar transferencia a favor suyo por importe de $5,199</v>
      </c>
    </row>
    <row r="11" spans="1:7" ht="43.9" customHeight="1" x14ac:dyDescent="0.25">
      <c r="A11" s="3"/>
      <c r="B11" t="s">
        <v>35</v>
      </c>
      <c r="C11" s="7">
        <f t="shared" ca="1" si="0"/>
        <v>45121</v>
      </c>
      <c r="D11" s="6">
        <v>7022</v>
      </c>
      <c r="E11" s="12" t="s">
        <v>46</v>
      </c>
      <c r="F11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Antonio Santana.%0A%0ASe le informa que se ha procedido a efectuar transferencia a favor suyo por importe de $7,022</v>
      </c>
    </row>
    <row r="12" spans="1:7" ht="43.9" customHeight="1" x14ac:dyDescent="0.25">
      <c r="A12" s="3"/>
      <c r="B12" t="s">
        <v>36</v>
      </c>
      <c r="C12" s="7">
        <f t="shared" ca="1" si="0"/>
        <v>45121</v>
      </c>
      <c r="D12" s="6">
        <v>8274</v>
      </c>
      <c r="E12" s="12" t="s">
        <v>46</v>
      </c>
      <c r="F12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Carlos García.%0A%0ASe le informa que se ha procedido a efectuar transferencia a favor suyo por importe de $8,274</v>
      </c>
    </row>
    <row r="13" spans="1:7" ht="43.9" customHeight="1" x14ac:dyDescent="0.25">
      <c r="A13" s="3"/>
      <c r="B13" t="s">
        <v>37</v>
      </c>
      <c r="C13" s="7">
        <f t="shared" ca="1" si="0"/>
        <v>45121</v>
      </c>
      <c r="D13" s="6">
        <v>6486</v>
      </c>
      <c r="E13" s="12" t="s">
        <v>46</v>
      </c>
      <c r="F13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Pedro Reyes.%0A%0ASe le informa que se ha procedido a efectuar transferencia a favor suyo por importe de $6,486</v>
      </c>
    </row>
    <row r="14" spans="1:7" ht="43.9" customHeight="1" x14ac:dyDescent="0.25">
      <c r="A14" s="3"/>
      <c r="B14" t="s">
        <v>38</v>
      </c>
      <c r="C14" s="7">
        <f t="shared" ca="1" si="0"/>
        <v>45121</v>
      </c>
      <c r="D14" s="6">
        <v>5963</v>
      </c>
      <c r="E14" s="12" t="s">
        <v>46</v>
      </c>
      <c r="F14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Ernesto Gómez.%0A%0ASe le informa que se ha procedido a efectuar transferencia a favor suyo por importe de $5,963</v>
      </c>
    </row>
    <row r="15" spans="1:7" ht="43.9" customHeight="1" x14ac:dyDescent="0.25">
      <c r="A15" s="3"/>
      <c r="B15" t="s">
        <v>39</v>
      </c>
      <c r="C15" s="7">
        <f t="shared" ca="1" si="0"/>
        <v>45121</v>
      </c>
      <c r="D15" s="6">
        <v>7839</v>
      </c>
      <c r="E15" s="12" t="s">
        <v>46</v>
      </c>
      <c r="F15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Oscar Santiago.%0A%0ASe le informa que se ha procedido a efectuar transferencia a favor suyo por importe de $7,839</v>
      </c>
    </row>
    <row r="16" spans="1:7" ht="43.9" customHeight="1" x14ac:dyDescent="0.25">
      <c r="A16" s="3"/>
      <c r="B16" t="s">
        <v>40</v>
      </c>
      <c r="C16" s="7">
        <f t="shared" ca="1" si="0"/>
        <v>45121</v>
      </c>
      <c r="D16" s="6">
        <v>7980</v>
      </c>
      <c r="E16" s="12" t="s">
        <v>46</v>
      </c>
      <c r="F16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Roberto Perez.%0A%0ASe le informa que se ha procedido a efectuar transferencia a favor suyo por importe de $7,980</v>
      </c>
    </row>
    <row r="17" spans="1:6" ht="43.9" customHeight="1" x14ac:dyDescent="0.25">
      <c r="A17" s="3"/>
      <c r="B17" t="s">
        <v>41</v>
      </c>
      <c r="C17" s="7">
        <f t="shared" ca="1" si="0"/>
        <v>45121</v>
      </c>
      <c r="D17" s="6">
        <v>5162</v>
      </c>
      <c r="E17" s="12" t="s">
        <v>46</v>
      </c>
      <c r="F17" s="8" t="str">
        <f>"Estimado(a) Sr/Sra "&amp;Clientes[[#This Row],[NOMBRE]]&amp;"."&amp;"%0A"&amp;"%0A"&amp;"Se le informa que se ha procedido a efectuar transferencia a favor suyo por importe de $"&amp;TEXT(Clientes[[#This Row],[IMP. TRANSFERENCIA]],"0,00")</f>
        <v>Estimado(a) Sr/Sra Nayra Rey.%0A%0ASe le informa que se ha procedido a efectuar transferencia a favor suyo por importe de $5,162</v>
      </c>
    </row>
  </sheetData>
  <mergeCells count="1">
    <mergeCell ref="A2:D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73FE-34FD-49F4-B829-186F652381D1}">
  <sheetPr codeName="Hoja2"/>
  <dimension ref="A1:H30"/>
  <sheetViews>
    <sheetView workbookViewId="0">
      <selection activeCell="E15" sqref="E15"/>
    </sheetView>
  </sheetViews>
  <sheetFormatPr baseColWidth="10" defaultColWidth="10.7109375" defaultRowHeight="15" x14ac:dyDescent="0.25"/>
  <cols>
    <col min="1" max="1" width="7.5703125" customWidth="1"/>
    <col min="2" max="2" width="13" bestFit="1" customWidth="1"/>
    <col min="3" max="3" width="11.28515625" bestFit="1" customWidth="1"/>
    <col min="4" max="4" width="9.140625" bestFit="1" customWidth="1"/>
    <col min="5" max="5" width="9" bestFit="1" customWidth="1"/>
    <col min="6" max="6" width="10" bestFit="1" customWidth="1"/>
    <col min="7" max="7" width="117.140625" bestFit="1" customWidth="1"/>
    <col min="8" max="8" width="120.28515625" bestFit="1" customWidth="1"/>
    <col min="9" max="9" width="5.140625" customWidth="1"/>
  </cols>
  <sheetData>
    <row r="1" spans="1:8" ht="30.75" x14ac:dyDescent="0.55000000000000004">
      <c r="A1" s="5" t="s">
        <v>28</v>
      </c>
      <c r="B1" s="4"/>
      <c r="C1" s="4"/>
      <c r="D1" s="4"/>
      <c r="E1" s="4"/>
      <c r="F1" s="4"/>
      <c r="G1" s="4"/>
      <c r="H1" s="4"/>
    </row>
    <row r="4" spans="1:8" ht="21.75" customHeight="1" x14ac:dyDescent="0.25"/>
    <row r="5" spans="1:8" x14ac:dyDescent="0.25">
      <c r="A5" t="s">
        <v>2</v>
      </c>
      <c r="B5" t="s">
        <v>0</v>
      </c>
      <c r="C5" t="s">
        <v>3</v>
      </c>
      <c r="D5" t="s">
        <v>4</v>
      </c>
      <c r="E5" t="s">
        <v>26</v>
      </c>
      <c r="F5" t="s">
        <v>25</v>
      </c>
      <c r="G5" t="s">
        <v>29</v>
      </c>
    </row>
    <row r="6" spans="1:8" x14ac:dyDescent="0.25">
      <c r="A6" s="3" t="s">
        <v>1</v>
      </c>
      <c r="B6" t="s">
        <v>5</v>
      </c>
      <c r="C6" s="1">
        <v>3820</v>
      </c>
      <c r="D6" s="2">
        <v>45017</v>
      </c>
      <c r="E6" t="str">
        <f t="shared" ref="E6:E25" ca="1" si="0">IF(D6&lt;TODAY(),"VENCIDO","VIGENTE")</f>
        <v>VENCIDO</v>
      </c>
      <c r="F6">
        <f ca="1">IF(D6&lt;TODAY(),TODAY()-Clientes2[[#This Row],[FECHA]],"-")</f>
        <v>104</v>
      </c>
      <c r="G6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Gabriel.%0A%0ASe le informa que presenta un atraso de 104 días en el pago de su cuenta.%0A%0ASu saldo es: 3,820</v>
      </c>
    </row>
    <row r="7" spans="1:8" x14ac:dyDescent="0.25">
      <c r="A7" s="3"/>
      <c r="B7" t="s">
        <v>6</v>
      </c>
      <c r="C7" s="1">
        <v>2477</v>
      </c>
      <c r="D7" s="2">
        <v>45108</v>
      </c>
      <c r="E7" t="str">
        <f t="shared" ca="1" si="0"/>
        <v>VENCIDO</v>
      </c>
      <c r="F7">
        <f ca="1">IF(D7&lt;TODAY(),TODAY()-Clientes2[[#This Row],[FECHA]],"-")</f>
        <v>13</v>
      </c>
      <c r="G7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Sofía.%0A%0ASe le informa que presenta un atraso de 13 días en el pago de su cuenta.%0A%0ASu saldo es: 2,477</v>
      </c>
    </row>
    <row r="8" spans="1:8" x14ac:dyDescent="0.25">
      <c r="A8" s="3"/>
      <c r="B8" t="s">
        <v>7</v>
      </c>
      <c r="C8" s="1">
        <v>4078</v>
      </c>
      <c r="D8" s="2">
        <v>45078</v>
      </c>
      <c r="E8" t="str">
        <f t="shared" ca="1" si="0"/>
        <v>VENCIDO</v>
      </c>
      <c r="F8">
        <f ca="1">IF(D8&lt;TODAY(),TODAY()-Clientes2[[#This Row],[FECHA]],"-")</f>
        <v>43</v>
      </c>
      <c r="G8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Mateo.%0A%0ASe le informa que presenta un atraso de 43 días en el pago de su cuenta.%0A%0ASu saldo es: 4,078</v>
      </c>
    </row>
    <row r="9" spans="1:8" x14ac:dyDescent="0.25">
      <c r="A9" s="3"/>
      <c r="B9" t="s">
        <v>8</v>
      </c>
      <c r="C9" s="1">
        <v>5199</v>
      </c>
      <c r="D9" s="2">
        <v>45108</v>
      </c>
      <c r="E9" t="str">
        <f t="shared" ca="1" si="0"/>
        <v>VENCIDO</v>
      </c>
      <c r="F9">
        <f ca="1">IF(D9&lt;TODAY(),TODAY()-Clientes2[[#This Row],[FECHA]],"-")</f>
        <v>13</v>
      </c>
      <c r="G9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Valentina.%0A%0ASe le informa que presenta un atraso de 13 días en el pago de su cuenta.%0A%0ASu saldo es: 5,199</v>
      </c>
    </row>
    <row r="10" spans="1:8" x14ac:dyDescent="0.25">
      <c r="A10" s="3"/>
      <c r="B10" t="s">
        <v>9</v>
      </c>
      <c r="C10" s="1">
        <v>7022</v>
      </c>
      <c r="D10" s="2">
        <v>45108</v>
      </c>
      <c r="E10" t="str">
        <f t="shared" ca="1" si="0"/>
        <v>VENCIDO</v>
      </c>
      <c r="F10">
        <f ca="1">IF(D10&lt;TODAY(),TODAY()-Clientes2[[#This Row],[FECHA]],"-")</f>
        <v>13</v>
      </c>
      <c r="G10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Santiago.%0A%0ASe le informa que presenta un atraso de 13 días en el pago de su cuenta.%0A%0ASu saldo es: 7,022</v>
      </c>
    </row>
    <row r="11" spans="1:8" x14ac:dyDescent="0.25">
      <c r="A11" s="3"/>
      <c r="B11" t="s">
        <v>10</v>
      </c>
      <c r="C11" s="1">
        <v>8274</v>
      </c>
      <c r="D11" s="2">
        <v>45108</v>
      </c>
      <c r="E11" t="str">
        <f t="shared" ca="1" si="0"/>
        <v>VENCIDO</v>
      </c>
      <c r="F11">
        <f ca="1">IF(D11&lt;TODAY(),TODAY()-Clientes2[[#This Row],[FECHA]],"-")</f>
        <v>13</v>
      </c>
      <c r="G11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Isabella.%0A%0ASe le informa que presenta un atraso de 13 días en el pago de su cuenta.%0A%0ASu saldo es: 8,274</v>
      </c>
    </row>
    <row r="12" spans="1:8" x14ac:dyDescent="0.25">
      <c r="A12" s="3"/>
      <c r="B12" t="s">
        <v>11</v>
      </c>
      <c r="C12" s="1">
        <v>6486</v>
      </c>
      <c r="D12" s="2">
        <v>45108</v>
      </c>
      <c r="E12" t="str">
        <f t="shared" ca="1" si="0"/>
        <v>VENCIDO</v>
      </c>
      <c r="F12">
        <f ca="1">IF(D12&lt;TODAY(),TODAY()-Clientes2[[#This Row],[FECHA]],"-")</f>
        <v>13</v>
      </c>
      <c r="G12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Alejandro.%0A%0ASe le informa que presenta un atraso de 13 días en el pago de su cuenta.%0A%0ASu saldo es: 6,486</v>
      </c>
    </row>
    <row r="13" spans="1:8" x14ac:dyDescent="0.25">
      <c r="A13" s="3"/>
      <c r="B13" t="s">
        <v>12</v>
      </c>
      <c r="C13" s="1">
        <v>5963</v>
      </c>
      <c r="D13" s="2">
        <v>45108</v>
      </c>
      <c r="E13" t="str">
        <f t="shared" ca="1" si="0"/>
        <v>VENCIDO</v>
      </c>
      <c r="F13">
        <f ca="1">IF(D13&lt;TODAY(),TODAY()-Clientes2[[#This Row],[FECHA]],"-")</f>
        <v>13</v>
      </c>
      <c r="G13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Camila.%0A%0ASe le informa que presenta un atraso de 13 días en el pago de su cuenta.%0A%0ASu saldo es: 5,963</v>
      </c>
    </row>
    <row r="14" spans="1:8" x14ac:dyDescent="0.25">
      <c r="A14" s="3"/>
      <c r="B14" t="s">
        <v>13</v>
      </c>
      <c r="C14" s="1">
        <v>7839</v>
      </c>
      <c r="D14" s="2">
        <v>45079</v>
      </c>
      <c r="E14" t="str">
        <f t="shared" ca="1" si="0"/>
        <v>VENCIDO</v>
      </c>
      <c r="F14">
        <f ca="1">IF(D14&lt;TODAY(),TODAY()-Clientes2[[#This Row],[FECHA]],"-")</f>
        <v>42</v>
      </c>
      <c r="G14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Daniel.%0A%0ASe le informa que presenta un atraso de 42 días en el pago de su cuenta.%0A%0ASu saldo es: 7,839</v>
      </c>
    </row>
    <row r="15" spans="1:8" x14ac:dyDescent="0.25">
      <c r="A15" s="3"/>
      <c r="B15" t="s">
        <v>14</v>
      </c>
      <c r="C15" s="1">
        <v>7980</v>
      </c>
      <c r="D15" s="2">
        <v>45108</v>
      </c>
      <c r="E15" t="str">
        <f t="shared" ca="1" si="0"/>
        <v>VENCIDO</v>
      </c>
      <c r="F15">
        <f ca="1">IF(D15&lt;TODAY(),TODAY()-Clientes2[[#This Row],[FECHA]],"-")</f>
        <v>13</v>
      </c>
      <c r="G15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Lucía.%0A%0ASe le informa que presenta un atraso de 13 días en el pago de su cuenta.%0A%0ASu saldo es: 7,980</v>
      </c>
    </row>
    <row r="16" spans="1:8" x14ac:dyDescent="0.25">
      <c r="A16" s="3"/>
      <c r="B16" t="s">
        <v>15</v>
      </c>
      <c r="C16" s="1">
        <v>5162</v>
      </c>
      <c r="D16" s="2">
        <v>45108</v>
      </c>
      <c r="E16" t="str">
        <f t="shared" ca="1" si="0"/>
        <v>VENCIDO</v>
      </c>
      <c r="F16">
        <f ca="1">IF(D16&lt;TODAY(),TODAY()-Clientes2[[#This Row],[FECHA]],"-")</f>
        <v>13</v>
      </c>
      <c r="G16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Matías.%0A%0ASe le informa que presenta un atraso de 13 días en el pago de su cuenta.%0A%0ASu saldo es: 5,162</v>
      </c>
    </row>
    <row r="17" spans="1:7" x14ac:dyDescent="0.25">
      <c r="A17" s="3"/>
      <c r="B17" t="s">
        <v>16</v>
      </c>
      <c r="C17" s="1">
        <v>2711</v>
      </c>
      <c r="D17" s="2">
        <v>45108</v>
      </c>
      <c r="E17" t="str">
        <f t="shared" ca="1" si="0"/>
        <v>VENCIDO</v>
      </c>
      <c r="F17">
        <f ca="1">IF(D17&lt;TODAY(),TODAY()-Clientes2[[#This Row],[FECHA]],"-")</f>
        <v>13</v>
      </c>
      <c r="G17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Victoria.%0A%0ASe le informa que presenta un atraso de 13 días en el pago de su cuenta.%0A%0ASu saldo es: 2,711</v>
      </c>
    </row>
    <row r="18" spans="1:7" x14ac:dyDescent="0.25">
      <c r="A18" s="3"/>
      <c r="B18" t="s">
        <v>17</v>
      </c>
      <c r="C18" s="1">
        <v>6318</v>
      </c>
      <c r="D18" s="2">
        <v>45108</v>
      </c>
      <c r="E18" t="str">
        <f t="shared" ca="1" si="0"/>
        <v>VENCIDO</v>
      </c>
      <c r="F18">
        <f ca="1">IF(D18&lt;TODAY(),TODAY()-Clientes2[[#This Row],[FECHA]],"-")</f>
        <v>13</v>
      </c>
      <c r="G18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Sebastián.%0A%0ASe le informa que presenta un atraso de 13 días en el pago de su cuenta.%0A%0ASu saldo es: 6,318</v>
      </c>
    </row>
    <row r="19" spans="1:7" x14ac:dyDescent="0.25">
      <c r="A19" s="3"/>
      <c r="B19" t="s">
        <v>18</v>
      </c>
      <c r="C19" s="1">
        <v>1189</v>
      </c>
      <c r="D19" s="2">
        <v>45108</v>
      </c>
      <c r="E19" t="str">
        <f t="shared" ca="1" si="0"/>
        <v>VENCIDO</v>
      </c>
      <c r="F19">
        <f ca="1">IF(D19&lt;TODAY(),TODAY()-Clientes2[[#This Row],[FECHA]],"-")</f>
        <v>13</v>
      </c>
      <c r="G19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Emily.%0A%0ASe le informa que presenta un atraso de 13 días en el pago de su cuenta.%0A%0ASu saldo es: 1,189</v>
      </c>
    </row>
    <row r="20" spans="1:7" x14ac:dyDescent="0.25">
      <c r="A20" s="3"/>
      <c r="B20" t="s">
        <v>19</v>
      </c>
      <c r="C20" s="1">
        <v>1105</v>
      </c>
      <c r="D20" s="2">
        <v>45108</v>
      </c>
      <c r="E20" t="str">
        <f t="shared" ca="1" si="0"/>
        <v>VENCIDO</v>
      </c>
      <c r="F20">
        <f ca="1">IF(D20&lt;TODAY(),TODAY()-Clientes2[[#This Row],[FECHA]],"-")</f>
        <v>13</v>
      </c>
      <c r="G20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Nicolás.%0A%0ASe le informa que presenta un atraso de 13 días en el pago de su cuenta.%0A%0ASu saldo es: 1,105</v>
      </c>
    </row>
    <row r="21" spans="1:7" x14ac:dyDescent="0.25">
      <c r="A21" s="3"/>
      <c r="B21" t="s">
        <v>20</v>
      </c>
      <c r="C21" s="1">
        <v>8763</v>
      </c>
      <c r="D21" s="2">
        <v>45108</v>
      </c>
      <c r="E21" t="str">
        <f t="shared" ca="1" si="0"/>
        <v>VENCIDO</v>
      </c>
      <c r="F21">
        <f ca="1">IF(D21&lt;TODAY(),TODAY()-Clientes2[[#This Row],[FECHA]],"-")</f>
        <v>13</v>
      </c>
      <c r="G21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Mia.%0A%0ASe le informa que presenta un atraso de 13 días en el pago de su cuenta.%0A%0ASu saldo es: 8,763</v>
      </c>
    </row>
    <row r="22" spans="1:7" x14ac:dyDescent="0.25">
      <c r="A22" s="3"/>
      <c r="B22" t="s">
        <v>21</v>
      </c>
      <c r="C22" s="1">
        <v>4351</v>
      </c>
      <c r="D22" s="2">
        <v>45108</v>
      </c>
      <c r="E22" t="str">
        <f t="shared" ca="1" si="0"/>
        <v>VENCIDO</v>
      </c>
      <c r="F22">
        <f ca="1">IF(D22&lt;TODAY(),TODAY()-Clientes2[[#This Row],[FECHA]],"-")</f>
        <v>13</v>
      </c>
      <c r="G22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Adrián.%0A%0ASe le informa que presenta un atraso de 13 días en el pago de su cuenta.%0A%0ASu saldo es: 4,351</v>
      </c>
    </row>
    <row r="23" spans="1:7" x14ac:dyDescent="0.25">
      <c r="A23" s="3"/>
      <c r="B23" t="s">
        <v>22</v>
      </c>
      <c r="C23" s="1">
        <v>5746</v>
      </c>
      <c r="D23" s="2">
        <v>45108</v>
      </c>
      <c r="E23" t="str">
        <f t="shared" ca="1" si="0"/>
        <v>VENCIDO</v>
      </c>
      <c r="F23">
        <f ca="1">IF(D23&lt;TODAY(),TODAY()-Clientes2[[#This Row],[FECHA]],"-")</f>
        <v>13</v>
      </c>
      <c r="G23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Gabriela.%0A%0ASe le informa que presenta un atraso de 13 días en el pago de su cuenta.%0A%0ASu saldo es: 5,746</v>
      </c>
    </row>
    <row r="24" spans="1:7" x14ac:dyDescent="0.25">
      <c r="A24" s="3"/>
      <c r="B24" t="s">
        <v>23</v>
      </c>
      <c r="C24" s="1">
        <v>3045</v>
      </c>
      <c r="D24" s="2">
        <v>45108</v>
      </c>
      <c r="E24" t="str">
        <f t="shared" ca="1" si="0"/>
        <v>VENCIDO</v>
      </c>
      <c r="F24">
        <f ca="1">IF(D24&lt;TODAY(),TODAY()-Clientes2[[#This Row],[FECHA]],"-")</f>
        <v>13</v>
      </c>
      <c r="G24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Andrés.%0A%0ASe le informa que presenta un atraso de 13 días en el pago de su cuenta.%0A%0ASu saldo es: 3,045</v>
      </c>
    </row>
    <row r="25" spans="1:7" x14ac:dyDescent="0.25">
      <c r="A25" s="3"/>
      <c r="B25" t="s">
        <v>24</v>
      </c>
      <c r="C25" s="1">
        <v>5592</v>
      </c>
      <c r="D25" s="2">
        <v>45047</v>
      </c>
      <c r="E25" t="str">
        <f t="shared" ca="1" si="0"/>
        <v>VENCIDO</v>
      </c>
      <c r="F25">
        <f ca="1">IF(D25&lt;TODAY(),TODAY()-Clientes2[[#This Row],[FECHA]],"-")</f>
        <v>74</v>
      </c>
      <c r="G25" t="str">
        <f ca="1">"Estimado(a) " &amp;Clientes2[[#This Row],[NOMBRE]]&amp;"."&amp; "%0A" &amp; "%0A" &amp;"Se le informa que presenta un atraso de " &amp;  Clientes2[[#This Row],[DÍAS VENCIDO]] &amp; " días en el pago de su cuenta."&amp; "%0A"&amp; "%0A" &amp; "Su saldo es: "  &amp;TEXT(Clientes2[[#This Row],[SALDO]],"0,00")</f>
        <v>Estimado(a) Natalia.%0A%0ASe le informa que presenta un atraso de 74 días en el pago de su cuenta.%0A%0ASu saldo es: 5,592</v>
      </c>
    </row>
    <row r="30" spans="1:7" x14ac:dyDescent="0.25">
      <c r="A30" t="s">
        <v>27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Administrador</cp:lastModifiedBy>
  <dcterms:created xsi:type="dcterms:W3CDTF">2022-05-17T17:37:50Z</dcterms:created>
  <dcterms:modified xsi:type="dcterms:W3CDTF">2023-07-14T18:25:57Z</dcterms:modified>
</cp:coreProperties>
</file>